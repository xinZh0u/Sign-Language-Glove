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<sst xmlns="http://schemas.openxmlformats.org/spreadsheetml/2006/main" count="29" uniqueCount="19">
  <si>
    <t xml:space="preserve">类别</t>
  </si>
  <si>
    <t xml:space="preserve">名称</t>
  </si>
  <si>
    <t xml:space="preserve">单价</t>
  </si>
  <si>
    <t xml:space="preserve">数量</t>
  </si>
  <si>
    <t xml:space="preserve">运费</t>
  </si>
  <si>
    <t xml:space="preserve">总价</t>
  </si>
  <si>
    <t xml:space="preserve">手套</t>
  </si>
  <si>
    <r>
      <rPr>
        <sz val="10"/>
        <rFont val="DejaVu Sans"/>
        <family val="2"/>
        <charset val="1"/>
      </rPr>
      <t xml:space="preserve">BF350-80AA</t>
    </r>
    <r>
      <rPr>
        <sz val="10"/>
        <rFont val="Noto Sans CJK SC"/>
        <family val="2"/>
      </rPr>
      <t xml:space="preserve">应变片</t>
    </r>
  </si>
  <si>
    <t xml:space="preserve">已采购</t>
  </si>
  <si>
    <r>
      <rPr>
        <sz val="10"/>
        <rFont val="DejaVu Sans"/>
        <family val="2"/>
        <charset val="1"/>
      </rPr>
      <t xml:space="preserve">BF350</t>
    </r>
    <r>
      <rPr>
        <sz val="10"/>
        <rFont val="Noto Sans CJK SC"/>
        <family val="2"/>
      </rPr>
      <t xml:space="preserve">应变片模块</t>
    </r>
  </si>
  <si>
    <t xml:space="preserve">手套板子</t>
  </si>
  <si>
    <t xml:space="preserve">mpu9250</t>
  </si>
  <si>
    <t xml:space="preserve">手套电池</t>
  </si>
  <si>
    <t xml:space="preserve">总计</t>
  </si>
  <si>
    <t xml:space="preserve">眼镜</t>
  </si>
  <si>
    <r>
      <rPr>
        <sz val="10"/>
        <rFont val="Noto Sans CJK SC"/>
        <family val="2"/>
      </rPr>
      <t xml:space="preserve">影创</t>
    </r>
    <r>
      <rPr>
        <sz val="10"/>
        <rFont val="DejaVu Sans"/>
        <family val="2"/>
        <charset val="1"/>
      </rPr>
      <t xml:space="preserve">JIMO AR</t>
    </r>
    <r>
      <rPr>
        <sz val="10"/>
        <rFont val="Noto Sans CJK SC"/>
        <family val="2"/>
      </rPr>
      <t xml:space="preserve">眼镜</t>
    </r>
  </si>
  <si>
    <t xml:space="preserve">郭卓鑫提供</t>
  </si>
  <si>
    <t xml:space="preserve">主控板</t>
  </si>
  <si>
    <t xml:space="preserve">飞腾派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</si>
</sst>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  <charset val="1"/>
    </font>
    <font>
      <sz val="10"/>
      <name val="WenQuanYi Zen He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H10" activeCellId="0" sqref="H10"/>
    </sheetView>
  </sheetViews>
  <sheetFormatPr defaultColWidth="10.95703125" defaultRowHeight="12.8" customHeight="false" zeroHeight="false" outlineLevelRow="0" outlineLevelCol="0"/>
  <cols>
    <col collapsed="false" customWidth="true" hidden="false" outlineLevel="0" max="1" min="1" style="1" width="5.95"/>
    <col collapsed="false" customWidth="true" hidden="false" outlineLevel="0" max="2" min="2" style="1" width="24.3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65" hidden="false" customHeight="false" outlineLevel="0" collapsed="false">
      <c r="A2" s="3" t="s">
        <v>6</v>
      </c>
      <c r="B2" s="4" t="s">
        <v>7</v>
      </c>
      <c r="C2" s="1" t="n">
        <v>17</v>
      </c>
      <c r="D2" s="1" t="n">
        <v>10</v>
      </c>
      <c r="E2" s="1" t="n">
        <v>2.5</v>
      </c>
      <c r="F2" s="1" t="n">
        <f aca="false">C2*D2+E2</f>
        <v>172.5</v>
      </c>
      <c r="G2" s="2" t="s">
        <v>8</v>
      </c>
    </row>
    <row r="3" customFormat="false" ht="15.65" hidden="false" customHeight="false" outlineLevel="0" collapsed="false">
      <c r="A3" s="3"/>
      <c r="B3" s="4" t="s">
        <v>9</v>
      </c>
      <c r="C3" s="1" t="n">
        <v>8</v>
      </c>
      <c r="D3" s="1" t="n">
        <v>18</v>
      </c>
      <c r="F3" s="1" t="n">
        <f aca="false">C3*D3+E3</f>
        <v>144</v>
      </c>
      <c r="G3" s="2" t="s">
        <v>8</v>
      </c>
    </row>
    <row r="4" customFormat="false" ht="12.8" hidden="false" customHeight="false" outlineLevel="0" collapsed="false">
      <c r="A4" s="3"/>
      <c r="B4" s="2" t="s">
        <v>6</v>
      </c>
      <c r="C4" s="1" t="n">
        <v>2.66</v>
      </c>
      <c r="D4" s="1" t="n">
        <v>1</v>
      </c>
      <c r="F4" s="1" t="n">
        <f aca="false">C4*D4+E4</f>
        <v>2.66</v>
      </c>
      <c r="G4" s="2" t="s">
        <v>8</v>
      </c>
    </row>
    <row r="5" customFormat="false" ht="12.8" hidden="false" customHeight="false" outlineLevel="0" collapsed="false">
      <c r="A5" s="3"/>
      <c r="B5" s="2" t="s">
        <v>10</v>
      </c>
      <c r="C5" s="5" t="n">
        <f aca="false">38.63+4.17+5.72+4.95+11.1</f>
        <v>64.57</v>
      </c>
      <c r="D5" s="1" t="n">
        <v>1</v>
      </c>
      <c r="F5" s="1" t="n">
        <f aca="false">C5*D5+E5</f>
        <v>64.57</v>
      </c>
      <c r="G5" s="2" t="s">
        <v>8</v>
      </c>
    </row>
    <row r="6" customFormat="false" ht="12.8" hidden="false" customHeight="false" outlineLevel="0" collapsed="false">
      <c r="A6" s="3"/>
      <c r="B6" s="4" t="s">
        <v>11</v>
      </c>
      <c r="C6" s="1" t="n">
        <v>54</v>
      </c>
      <c r="D6" s="1" t="n">
        <v>2</v>
      </c>
      <c r="E6" s="1" t="n">
        <v>4.5</v>
      </c>
      <c r="F6" s="1" t="n">
        <f aca="false">C6*D6+E6</f>
        <v>112.5</v>
      </c>
      <c r="G6" s="2" t="s">
        <v>8</v>
      </c>
    </row>
    <row r="7" customFormat="false" ht="12.8" hidden="false" customHeight="false" outlineLevel="0" collapsed="false">
      <c r="A7" s="3"/>
      <c r="B7" s="2" t="s">
        <v>12</v>
      </c>
      <c r="C7" s="1" t="n">
        <v>9.5</v>
      </c>
      <c r="D7" s="1" t="n">
        <v>2</v>
      </c>
      <c r="F7" s="1" t="n">
        <f aca="false">C7*D7+E7</f>
        <v>19</v>
      </c>
      <c r="G7" s="2" t="s">
        <v>8</v>
      </c>
    </row>
    <row r="8" customFormat="false" ht="12.8" hidden="false" customHeight="false" outlineLevel="0" collapsed="false">
      <c r="A8" s="3"/>
      <c r="B8" s="3" t="s">
        <v>13</v>
      </c>
      <c r="C8" s="3"/>
      <c r="D8" s="3"/>
      <c r="E8" s="3"/>
      <c r="F8" s="1" t="n">
        <f aca="false">SUM(F2:F7)</f>
        <v>515.23</v>
      </c>
      <c r="G8" s="2"/>
    </row>
    <row r="9" customFormat="false" ht="16.15" hidden="false" customHeight="false" outlineLevel="0" collapsed="false">
      <c r="A9" s="3" t="s">
        <v>14</v>
      </c>
      <c r="B9" s="2" t="s">
        <v>15</v>
      </c>
      <c r="C9" s="3" t="s">
        <v>16</v>
      </c>
      <c r="D9" s="3"/>
      <c r="E9" s="3"/>
      <c r="F9" s="3"/>
      <c r="G9" s="3"/>
    </row>
    <row r="10" customFormat="false" ht="12.8" hidden="false" customHeight="false" outlineLevel="0" collapsed="false">
      <c r="A10" s="3"/>
      <c r="B10" s="3" t="s">
        <v>13</v>
      </c>
      <c r="C10" s="3"/>
      <c r="D10" s="3"/>
      <c r="E10" s="3"/>
      <c r="F10" s="1" t="n">
        <f aca="false">SUM(F9)</f>
        <v>0</v>
      </c>
    </row>
    <row r="11" customFormat="false" ht="12.8" hidden="false" customHeight="false" outlineLevel="0" collapsed="false">
      <c r="A11" s="6" t="s">
        <v>17</v>
      </c>
      <c r="B11" s="1" t="s">
        <v>18</v>
      </c>
      <c r="C11" s="1" t="n">
        <v>369</v>
      </c>
      <c r="D11" s="1" t="n">
        <v>1</v>
      </c>
      <c r="F11" s="1" t="n">
        <f aca="false">C11*D11+E11</f>
        <v>369</v>
      </c>
      <c r="G11" s="2" t="s">
        <v>8</v>
      </c>
    </row>
    <row r="12" customFormat="false" ht="12.8" hidden="false" customHeight="false" outlineLevel="0" collapsed="false">
      <c r="A12" s="6"/>
      <c r="B12" s="3" t="s">
        <v>13</v>
      </c>
      <c r="C12" s="3"/>
      <c r="D12" s="3"/>
      <c r="E12" s="3"/>
      <c r="F12" s="1" t="n">
        <f aca="false">SUM(F11)</f>
        <v>369</v>
      </c>
      <c r="G12" s="2"/>
    </row>
    <row r="13" customFormat="false" ht="12.8" hidden="false" customHeight="false" outlineLevel="0" collapsed="false">
      <c r="A13" s="3" t="s">
        <v>13</v>
      </c>
      <c r="B13" s="3"/>
      <c r="C13" s="3"/>
      <c r="D13" s="3"/>
      <c r="E13" s="3"/>
      <c r="F13" s="1" t="n">
        <f aca="false">SUM(F8+F10+F12)</f>
        <v>884.23</v>
      </c>
    </row>
  </sheetData>
  <mergeCells count="7">
    <mergeCell ref="A2:A8"/>
    <mergeCell ref="B8:E8"/>
    <mergeCell ref="C9:G9"/>
    <mergeCell ref="B10:E10"/>
    <mergeCell ref="A11:A12"/>
    <mergeCell ref="B12:E12"/>
    <mergeCell ref="A13:E1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Sans,书用"&amp;A</oddHeader>
    <oddFooter>&amp;C&amp;"DejaVu Sans,书用"Page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2026-03-04T11:25:01Z</dcterms:created>
  <dc:creator/>
  <dc:description/>
  <dc:language>zh-CN</dc:language>
  <cp:lastModifiedBy/>
  <dcterms:modified xsi:type="dcterms:W3CDTF">2026-04-03T00:17:39Z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